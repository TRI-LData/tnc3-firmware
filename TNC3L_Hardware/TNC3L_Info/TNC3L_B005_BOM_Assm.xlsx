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ocs\Cliff\Documents\Tri-L\ConradLee\TNC\TNC3\PCB\TNC3_B005_Fab\"/>
    </mc:Choice>
  </mc:AlternateContent>
  <xr:revisionPtr revIDLastSave="0" documentId="13_ncr:1_{1C053E85-3116-4C14-9274-41F97E7C9FB0}" xr6:coauthVersionLast="47" xr6:coauthVersionMax="47" xr10:uidLastSave="{00000000-0000-0000-0000-000000000000}"/>
  <bookViews>
    <workbookView xWindow="43080" yWindow="-120" windowWidth="29040" windowHeight="15720" xr2:uid="{73448ACB-1C7E-4608-8F42-0AAE26821F30}"/>
  </bookViews>
  <sheets>
    <sheet name="TNC3L_B005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1" l="1"/>
</calcChain>
</file>

<file path=xl/sharedStrings.xml><?xml version="1.0" encoding="utf-8"?>
<sst xmlns="http://schemas.openxmlformats.org/spreadsheetml/2006/main" count="346" uniqueCount="202">
  <si>
    <t>RefDes</t>
  </si>
  <si>
    <t>Value</t>
  </si>
  <si>
    <t>Name</t>
  </si>
  <si>
    <t>Pattern</t>
  </si>
  <si>
    <t>Quantity</t>
  </si>
  <si>
    <t>A1</t>
  </si>
  <si>
    <t>32.768KHz</t>
  </si>
  <si>
    <t>ABS07L-32.768KHZ-T</t>
  </si>
  <si>
    <t>ABS07L</t>
  </si>
  <si>
    <t>B1</t>
  </si>
  <si>
    <t>DF52-2S</t>
  </si>
  <si>
    <t>DF52-2S-0.8H(21)</t>
  </si>
  <si>
    <t>C1, C24, C25</t>
  </si>
  <si>
    <t>4.7uF 10V</t>
  </si>
  <si>
    <t>CL05A475MP5NRNC</t>
  </si>
  <si>
    <t>CAP_0402</t>
  </si>
  <si>
    <t>C2, C18</t>
  </si>
  <si>
    <t>10nF</t>
  </si>
  <si>
    <t>GRM155R71C103KA01D</t>
  </si>
  <si>
    <t>C3, C4, C5, C6, C7, C8, C9, C11, C22, C27, C30, C32</t>
  </si>
  <si>
    <t>0.1uF</t>
  </si>
  <si>
    <t>CL05B104KO5NNNC</t>
  </si>
  <si>
    <t>C10, C20</t>
  </si>
  <si>
    <t>1nF</t>
  </si>
  <si>
    <t>GRM155R71C102KA01D</t>
  </si>
  <si>
    <t>C12, C21</t>
  </si>
  <si>
    <t>33nF</t>
  </si>
  <si>
    <t>GRM155R61C333KA01D</t>
  </si>
  <si>
    <t>C13, C14</t>
  </si>
  <si>
    <t>22pF</t>
  </si>
  <si>
    <t>CC0402JRNPO7BN220</t>
  </si>
  <si>
    <t>RES_0402</t>
  </si>
  <si>
    <t>C15, C23</t>
  </si>
  <si>
    <t>470pF</t>
  </si>
  <si>
    <t>CC0402JRNPO7BN471</t>
  </si>
  <si>
    <t>C16, C17</t>
  </si>
  <si>
    <t>10uF 16V</t>
  </si>
  <si>
    <t>CAP_0805</t>
  </si>
  <si>
    <t>C19</t>
  </si>
  <si>
    <t>2.2uF</t>
  </si>
  <si>
    <t>CC0402KRX5R7BB225</t>
  </si>
  <si>
    <t>C26</t>
  </si>
  <si>
    <t>.22uF</t>
  </si>
  <si>
    <t>CL05B224KO5NNNC</t>
  </si>
  <si>
    <t>C28</t>
  </si>
  <si>
    <t>33uF 6.3V</t>
  </si>
  <si>
    <t>GMC21X5R336M6R3NT</t>
  </si>
  <si>
    <t>C29</t>
  </si>
  <si>
    <t>1uF 16V</t>
  </si>
  <si>
    <t>CL05A105KO5NNNC</t>
  </si>
  <si>
    <t>C31</t>
  </si>
  <si>
    <t>100pF 16V</t>
  </si>
  <si>
    <t>C0402C101K4RACAUTO</t>
  </si>
  <si>
    <t>D1</t>
  </si>
  <si>
    <t>RGB_CA</t>
  </si>
  <si>
    <t>E3113BGR-10D0003Q3U1930</t>
  </si>
  <si>
    <t>LED_RGB_RA_SM</t>
  </si>
  <si>
    <t>D2</t>
  </si>
  <si>
    <t>PMEG2010ER</t>
  </si>
  <si>
    <t>SOD-123F</t>
  </si>
  <si>
    <t>D3</t>
  </si>
  <si>
    <t>B2592USNG20D0001L2U1930</t>
  </si>
  <si>
    <t>LED_RG</t>
  </si>
  <si>
    <t>LED_RG_B2592USNG20D0001L2U1930</t>
  </si>
  <si>
    <t>D4</t>
  </si>
  <si>
    <t>BAT54SWT1G</t>
  </si>
  <si>
    <t>BAT54SWT1G_SOT323</t>
  </si>
  <si>
    <t>SOT323</t>
  </si>
  <si>
    <t>D5</t>
  </si>
  <si>
    <t>4.3V Zener</t>
  </si>
  <si>
    <t>BZT52C4V3LP-7</t>
  </si>
  <si>
    <t>DIO_0402</t>
  </si>
  <si>
    <t>F1</t>
  </si>
  <si>
    <t>750mA</t>
  </si>
  <si>
    <t>PTS08056V075</t>
  </si>
  <si>
    <t>RES_0805</t>
  </si>
  <si>
    <t>L1</t>
  </si>
  <si>
    <t>FB 600R@100Mhz</t>
  </si>
  <si>
    <t>BLM15AX601SN1D</t>
  </si>
  <si>
    <t>L2, L3, L4, L5</t>
  </si>
  <si>
    <t>IND_0402</t>
  </si>
  <si>
    <t>L6</t>
  </si>
  <si>
    <t>IND_0603</t>
  </si>
  <si>
    <t>P1</t>
  </si>
  <si>
    <t>USB-C</t>
  </si>
  <si>
    <t>USB4105-GF-A</t>
  </si>
  <si>
    <t>USB4105_GCT</t>
  </si>
  <si>
    <t>P2</t>
  </si>
  <si>
    <t>IDC1x6</t>
  </si>
  <si>
    <t>IDC1X6_05</t>
  </si>
  <si>
    <t>P3</t>
  </si>
  <si>
    <t>IDC1X4</t>
  </si>
  <si>
    <t>IDC1X4_05</t>
  </si>
  <si>
    <t>IDC1X4_Socket</t>
  </si>
  <si>
    <t>P4</t>
  </si>
  <si>
    <t>IDC1X2</t>
  </si>
  <si>
    <t>P6</t>
  </si>
  <si>
    <t>TRRS 3.5</t>
  </si>
  <si>
    <t>SJ2-3574A-SMT-TR</t>
  </si>
  <si>
    <t>Q1</t>
  </si>
  <si>
    <t>DMP3099L-7</t>
  </si>
  <si>
    <t>MOSFET-P</t>
  </si>
  <si>
    <t>SOT23</t>
  </si>
  <si>
    <t>Q2</t>
  </si>
  <si>
    <t>FS8205A</t>
  </si>
  <si>
    <t>FS8205A-SOT23-6</t>
  </si>
  <si>
    <t>SOT23-6</t>
  </si>
  <si>
    <t>Q4</t>
  </si>
  <si>
    <t>MMBT2222A</t>
  </si>
  <si>
    <t>NPN</t>
  </si>
  <si>
    <t>R1, R38, R39, R41</t>
  </si>
  <si>
    <t>1.5K</t>
  </si>
  <si>
    <t>R2, R5</t>
  </si>
  <si>
    <t>5.1K</t>
  </si>
  <si>
    <t>R3, R13, R28</t>
  </si>
  <si>
    <t>30K</t>
  </si>
  <si>
    <t>R4</t>
  </si>
  <si>
    <t>R6, R20, R32</t>
  </si>
  <si>
    <t>10K</t>
  </si>
  <si>
    <t>R7, R8, R9</t>
  </si>
  <si>
    <t>2.2K</t>
  </si>
  <si>
    <t>R10, R11, R24</t>
  </si>
  <si>
    <t>4.7K</t>
  </si>
  <si>
    <t>R12, R30, R31</t>
  </si>
  <si>
    <t>R14, R26</t>
  </si>
  <si>
    <t>16K</t>
  </si>
  <si>
    <t>R15, R17</t>
  </si>
  <si>
    <t>R16, R19, R25</t>
  </si>
  <si>
    <t>100K</t>
  </si>
  <si>
    <t>R18, R23</t>
  </si>
  <si>
    <t>R21, R22</t>
  </si>
  <si>
    <t>R27</t>
  </si>
  <si>
    <t>6.8K</t>
  </si>
  <si>
    <t>R29</t>
  </si>
  <si>
    <t>R33</t>
  </si>
  <si>
    <t>RC0603JR-070RL</t>
  </si>
  <si>
    <t>RES_0603</t>
  </si>
  <si>
    <t>R34</t>
  </si>
  <si>
    <t>2K</t>
  </si>
  <si>
    <t>2k</t>
  </si>
  <si>
    <t>R35</t>
  </si>
  <si>
    <t>R36</t>
  </si>
  <si>
    <t>R37</t>
  </si>
  <si>
    <t>10mOhm</t>
  </si>
  <si>
    <t>R40</t>
  </si>
  <si>
    <t>7.23K</t>
  </si>
  <si>
    <t>R59</t>
  </si>
  <si>
    <t>T5</t>
  </si>
  <si>
    <t>TP</t>
  </si>
  <si>
    <t>TP05</t>
  </si>
  <si>
    <t>U1</t>
  </si>
  <si>
    <t>USBLC6-2SC6</t>
  </si>
  <si>
    <t>USB_TVS-SOT23-6</t>
  </si>
  <si>
    <t>U2</t>
  </si>
  <si>
    <t>BM78SPPS5NC2-000</t>
  </si>
  <si>
    <t>MOD33_BM78SPPS5M</t>
  </si>
  <si>
    <t>U3</t>
  </si>
  <si>
    <t>DUAL_N_N</t>
  </si>
  <si>
    <t>SIA918EDJ-T1-GE3</t>
  </si>
  <si>
    <t>SON_SIA921EDJ_VI</t>
  </si>
  <si>
    <t>U4</t>
  </si>
  <si>
    <t>ZGSZJHF</t>
  </si>
  <si>
    <t>PB_Latch_SPDT</t>
  </si>
  <si>
    <t>PB_SPDT_LATCH</t>
  </si>
  <si>
    <t>U5</t>
  </si>
  <si>
    <t>STM32L433CCU6</t>
  </si>
  <si>
    <t>STM32L433CCU6-48QFN</t>
  </si>
  <si>
    <t>QFN-48/7x7x0.5</t>
  </si>
  <si>
    <t>U6, U8</t>
  </si>
  <si>
    <t>MCP6002T-IMS-8MSOP</t>
  </si>
  <si>
    <t>MCP6002T-IMS</t>
  </si>
  <si>
    <t>MSOP8_MC_MCH</t>
  </si>
  <si>
    <t>U7</t>
  </si>
  <si>
    <t>XC6210-3.3V</t>
  </si>
  <si>
    <t>XC6210B332MR-G</t>
  </si>
  <si>
    <t>SOT23-5</t>
  </si>
  <si>
    <t>U9</t>
  </si>
  <si>
    <t>MCP73831T-2ACI/OT</t>
  </si>
  <si>
    <t>MCP73831</t>
  </si>
  <si>
    <t>U10</t>
  </si>
  <si>
    <t>M24C32-FDW6TP</t>
  </si>
  <si>
    <t>TSSOP8_4P5X3P1X0</t>
  </si>
  <si>
    <t>U11</t>
  </si>
  <si>
    <t>DUAL_N_P</t>
  </si>
  <si>
    <t>SIA519EDJ-T1-GE3</t>
  </si>
  <si>
    <t>U12</t>
  </si>
  <si>
    <t>BQ298215RUGR</t>
  </si>
  <si>
    <t>X2QFN_6</t>
  </si>
  <si>
    <t>Item</t>
  </si>
  <si>
    <t xml:space="preserve"> Distributor</t>
  </si>
  <si>
    <t>Digikey</t>
  </si>
  <si>
    <t>CL21A106KOCLRNC</t>
  </si>
  <si>
    <t>BLM15AG102SN1D</t>
  </si>
  <si>
    <t>MU1608-221Y</t>
  </si>
  <si>
    <t>Mouser</t>
  </si>
  <si>
    <t>Amazon</t>
  </si>
  <si>
    <t>IDC1X6</t>
  </si>
  <si>
    <t>Comment</t>
  </si>
  <si>
    <t>NO POP</t>
  </si>
  <si>
    <t>Generic, 1%, 1/10 W or better</t>
  </si>
  <si>
    <t xml:space="preserve">TNC3L_B005_BOM </t>
  </si>
  <si>
    <t>NO POP = do  not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</si>
</sst>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0" borderId="10" xfId="0" applyBorder="1"/>
    <xf numFmtId="49" fontId="0" fillId="0" borderId="10" xfId="0" applyNumberFormat="1" applyBorder="1"/>
    <xf numFmtId="0" fontId="0" fillId="33" borderId="10" xfId="0" applyFill="1" applyBorder="1"/>
    <xf numFmtId="49" fontId="0" fillId="33" borderId="10" xfId="0" applyNumberFormat="1" applyFill="1" applyBorder="1"/>
    <xf numFmtId="164" fontId="0" fillId="33" borderId="10" xfId="0" applyNumberFormat="1" applyFill="1" applyBorder="1"/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1455-6C36-4EAA-B398-3916E73C325A}">
  <sheetPr>
    <pageSetUpPr fitToPage="1"/>
  </sheetPr>
  <dimension ref="A1:K69"/>
  <sheetViews>
    <sheetView tabSelected="1" topLeftCell="A25" workbookViewId="0">
      <selection activeCell="F70" sqref="F70"/>
    </sheetView>
  </sheetViews>
  <sheetFormatPr defaultRowHeight="14.25" x14ac:dyDescent="0.45"/>
  <cols>
    <col min="1" max="1" width="5.73046875" customWidth="1"/>
    <col min="2" max="2" width="40.9296875" customWidth="1"/>
    <col min="3" max="4" width="24.3984375" style="1" customWidth="1"/>
    <col min="5" max="5" width="31.59765625" customWidth="1"/>
    <col min="6" max="6" width="8.796875" customWidth="1"/>
    <col min="7" max="7" width="15.33203125" customWidth="1"/>
    <col min="8" max="8" width="26.796875" style="8" customWidth="1"/>
    <col min="9" max="9" width="8.265625" style="8" customWidth="1"/>
    <col min="10" max="10" width="7.59765625" customWidth="1"/>
    <col min="11" max="11" width="7.86328125" customWidth="1"/>
  </cols>
  <sheetData>
    <row r="1" spans="1:9" x14ac:dyDescent="0.45">
      <c r="B1" t="s">
        <v>200</v>
      </c>
      <c r="H1" s="8" t="s">
        <v>201</v>
      </c>
    </row>
    <row r="2" spans="1:9" x14ac:dyDescent="0.45">
      <c r="A2" s="4" t="s">
        <v>188</v>
      </c>
      <c r="B2" s="4" t="s">
        <v>0</v>
      </c>
      <c r="C2" s="5" t="s">
        <v>1</v>
      </c>
      <c r="D2" s="5" t="s">
        <v>2</v>
      </c>
      <c r="E2" s="4" t="s">
        <v>3</v>
      </c>
      <c r="F2" s="4" t="s">
        <v>4</v>
      </c>
      <c r="G2" s="4" t="s">
        <v>189</v>
      </c>
      <c r="H2" s="6" t="s">
        <v>197</v>
      </c>
      <c r="I2"/>
    </row>
    <row r="3" spans="1:9" x14ac:dyDescent="0.45">
      <c r="A3" s="2">
        <v>1</v>
      </c>
      <c r="B3" s="2" t="s">
        <v>5</v>
      </c>
      <c r="C3" s="3" t="s">
        <v>6</v>
      </c>
      <c r="D3" s="3" t="s">
        <v>7</v>
      </c>
      <c r="E3" s="2" t="s">
        <v>8</v>
      </c>
      <c r="F3" s="2">
        <v>1</v>
      </c>
      <c r="G3" s="2" t="s">
        <v>190</v>
      </c>
      <c r="H3" s="7"/>
      <c r="I3"/>
    </row>
    <row r="4" spans="1:9" x14ac:dyDescent="0.45">
      <c r="A4" s="2">
        <v>2</v>
      </c>
      <c r="B4" s="2" t="s">
        <v>9</v>
      </c>
      <c r="C4" s="3" t="s">
        <v>10</v>
      </c>
      <c r="D4" s="3" t="s">
        <v>11</v>
      </c>
      <c r="E4" s="2" t="s">
        <v>10</v>
      </c>
      <c r="F4" s="2">
        <v>1</v>
      </c>
      <c r="G4" s="2" t="s">
        <v>190</v>
      </c>
      <c r="H4" s="7"/>
      <c r="I4"/>
    </row>
    <row r="5" spans="1:9" x14ac:dyDescent="0.45">
      <c r="A5" s="2">
        <v>3</v>
      </c>
      <c r="B5" s="2" t="s">
        <v>12</v>
      </c>
      <c r="C5" s="3" t="s">
        <v>13</v>
      </c>
      <c r="D5" s="3" t="s">
        <v>14</v>
      </c>
      <c r="E5" s="2" t="s">
        <v>15</v>
      </c>
      <c r="F5" s="2">
        <v>3</v>
      </c>
      <c r="G5" s="2" t="s">
        <v>190</v>
      </c>
      <c r="H5" s="7"/>
      <c r="I5"/>
    </row>
    <row r="6" spans="1:9" x14ac:dyDescent="0.45">
      <c r="A6" s="2">
        <v>4</v>
      </c>
      <c r="B6" s="2" t="s">
        <v>16</v>
      </c>
      <c r="C6" s="3" t="s">
        <v>17</v>
      </c>
      <c r="D6" s="3" t="s">
        <v>18</v>
      </c>
      <c r="E6" s="2" t="s">
        <v>15</v>
      </c>
      <c r="F6" s="2">
        <v>2</v>
      </c>
      <c r="G6" s="2" t="s">
        <v>190</v>
      </c>
      <c r="H6" s="7"/>
      <c r="I6"/>
    </row>
    <row r="7" spans="1:9" x14ac:dyDescent="0.45">
      <c r="A7" s="2">
        <v>5</v>
      </c>
      <c r="B7" s="2" t="s">
        <v>19</v>
      </c>
      <c r="C7" s="3" t="s">
        <v>20</v>
      </c>
      <c r="D7" s="3" t="s">
        <v>21</v>
      </c>
      <c r="E7" s="2" t="s">
        <v>15</v>
      </c>
      <c r="F7" s="2">
        <v>12</v>
      </c>
      <c r="G7" s="2" t="s">
        <v>190</v>
      </c>
      <c r="H7" s="7"/>
      <c r="I7"/>
    </row>
    <row r="8" spans="1:9" x14ac:dyDescent="0.45">
      <c r="A8" s="2">
        <v>6</v>
      </c>
      <c r="B8" s="2" t="s">
        <v>22</v>
      </c>
      <c r="C8" s="3" t="s">
        <v>23</v>
      </c>
      <c r="D8" s="3" t="s">
        <v>24</v>
      </c>
      <c r="E8" s="2" t="s">
        <v>15</v>
      </c>
      <c r="F8" s="2">
        <v>2</v>
      </c>
      <c r="G8" s="2" t="s">
        <v>190</v>
      </c>
      <c r="H8" s="7"/>
      <c r="I8"/>
    </row>
    <row r="9" spans="1:9" x14ac:dyDescent="0.45">
      <c r="A9" s="2">
        <v>7</v>
      </c>
      <c r="B9" s="2" t="s">
        <v>25</v>
      </c>
      <c r="C9" s="3" t="s">
        <v>26</v>
      </c>
      <c r="D9" s="3" t="s">
        <v>27</v>
      </c>
      <c r="E9" s="2" t="s">
        <v>15</v>
      </c>
      <c r="F9" s="2">
        <v>2</v>
      </c>
      <c r="G9" s="2" t="s">
        <v>190</v>
      </c>
      <c r="H9" s="7"/>
      <c r="I9"/>
    </row>
    <row r="10" spans="1:9" x14ac:dyDescent="0.45">
      <c r="A10" s="2">
        <v>8</v>
      </c>
      <c r="B10" s="2" t="s">
        <v>28</v>
      </c>
      <c r="C10" s="3" t="s">
        <v>29</v>
      </c>
      <c r="D10" s="3" t="s">
        <v>30</v>
      </c>
      <c r="E10" s="2" t="s">
        <v>31</v>
      </c>
      <c r="F10" s="2">
        <v>2</v>
      </c>
      <c r="G10" s="2" t="s">
        <v>190</v>
      </c>
      <c r="H10" s="7"/>
      <c r="I10"/>
    </row>
    <row r="11" spans="1:9" x14ac:dyDescent="0.45">
      <c r="A11" s="2">
        <v>9</v>
      </c>
      <c r="B11" s="2" t="s">
        <v>32</v>
      </c>
      <c r="C11" s="3" t="s">
        <v>33</v>
      </c>
      <c r="D11" s="3" t="s">
        <v>34</v>
      </c>
      <c r="E11" s="2" t="s">
        <v>15</v>
      </c>
      <c r="F11" s="2">
        <v>2</v>
      </c>
      <c r="G11" s="2" t="s">
        <v>190</v>
      </c>
      <c r="H11" s="7"/>
      <c r="I11"/>
    </row>
    <row r="12" spans="1:9" x14ac:dyDescent="0.45">
      <c r="A12" s="2">
        <v>10</v>
      </c>
      <c r="B12" s="2" t="s">
        <v>35</v>
      </c>
      <c r="C12" s="3" t="s">
        <v>36</v>
      </c>
      <c r="D12" s="3" t="s">
        <v>191</v>
      </c>
      <c r="E12" s="2" t="s">
        <v>37</v>
      </c>
      <c r="F12" s="2">
        <v>2</v>
      </c>
      <c r="G12" s="2" t="s">
        <v>190</v>
      </c>
      <c r="H12" s="7"/>
      <c r="I12"/>
    </row>
    <row r="13" spans="1:9" x14ac:dyDescent="0.45">
      <c r="A13" s="2">
        <v>11</v>
      </c>
      <c r="B13" s="2" t="s">
        <v>38</v>
      </c>
      <c r="C13" s="3" t="s">
        <v>39</v>
      </c>
      <c r="D13" s="3" t="s">
        <v>40</v>
      </c>
      <c r="E13" s="2" t="s">
        <v>15</v>
      </c>
      <c r="F13" s="2">
        <v>1</v>
      </c>
      <c r="G13" s="2" t="s">
        <v>190</v>
      </c>
      <c r="H13" s="7"/>
      <c r="I13"/>
    </row>
    <row r="14" spans="1:9" x14ac:dyDescent="0.45">
      <c r="A14" s="2">
        <v>12</v>
      </c>
      <c r="B14" s="2" t="s">
        <v>41</v>
      </c>
      <c r="C14" s="3" t="s">
        <v>42</v>
      </c>
      <c r="D14" s="3" t="s">
        <v>43</v>
      </c>
      <c r="E14" s="2" t="s">
        <v>15</v>
      </c>
      <c r="F14" s="2">
        <v>1</v>
      </c>
      <c r="G14" s="2" t="s">
        <v>190</v>
      </c>
      <c r="H14" s="7"/>
      <c r="I14"/>
    </row>
    <row r="15" spans="1:9" x14ac:dyDescent="0.45">
      <c r="A15" s="2">
        <v>13</v>
      </c>
      <c r="B15" s="2" t="s">
        <v>44</v>
      </c>
      <c r="C15" s="3" t="s">
        <v>45</v>
      </c>
      <c r="D15" s="3" t="s">
        <v>46</v>
      </c>
      <c r="E15" s="2" t="s">
        <v>37</v>
      </c>
      <c r="F15" s="2">
        <v>1</v>
      </c>
      <c r="G15" s="2" t="s">
        <v>190</v>
      </c>
      <c r="H15" s="7"/>
      <c r="I15"/>
    </row>
    <row r="16" spans="1:9" x14ac:dyDescent="0.45">
      <c r="A16" s="2">
        <v>14</v>
      </c>
      <c r="B16" s="2" t="s">
        <v>47</v>
      </c>
      <c r="C16" s="3" t="s">
        <v>48</v>
      </c>
      <c r="D16" s="3" t="s">
        <v>49</v>
      </c>
      <c r="E16" s="2" t="s">
        <v>31</v>
      </c>
      <c r="F16" s="2">
        <v>1</v>
      </c>
      <c r="G16" s="2" t="s">
        <v>190</v>
      </c>
      <c r="H16" s="7"/>
      <c r="I16"/>
    </row>
    <row r="17" spans="1:9" x14ac:dyDescent="0.45">
      <c r="A17" s="2">
        <v>15</v>
      </c>
      <c r="B17" s="2" t="s">
        <v>50</v>
      </c>
      <c r="C17" s="3" t="s">
        <v>51</v>
      </c>
      <c r="D17" s="3" t="s">
        <v>52</v>
      </c>
      <c r="E17" s="2" t="s">
        <v>31</v>
      </c>
      <c r="F17" s="2">
        <v>1</v>
      </c>
      <c r="G17" s="2" t="s">
        <v>190</v>
      </c>
      <c r="H17" s="7"/>
      <c r="I17"/>
    </row>
    <row r="18" spans="1:9" x14ac:dyDescent="0.45">
      <c r="A18" s="2">
        <v>16</v>
      </c>
      <c r="B18" s="2" t="s">
        <v>53</v>
      </c>
      <c r="C18" s="3" t="s">
        <v>54</v>
      </c>
      <c r="D18" s="3" t="s">
        <v>55</v>
      </c>
      <c r="E18" s="2" t="s">
        <v>56</v>
      </c>
      <c r="F18" s="2">
        <v>1</v>
      </c>
      <c r="G18" s="2" t="s">
        <v>190</v>
      </c>
      <c r="H18" s="7"/>
      <c r="I18"/>
    </row>
    <row r="19" spans="1:9" x14ac:dyDescent="0.45">
      <c r="A19" s="2">
        <v>17</v>
      </c>
      <c r="B19" s="2" t="s">
        <v>57</v>
      </c>
      <c r="C19" s="3" t="s">
        <v>58</v>
      </c>
      <c r="D19" s="3" t="s">
        <v>58</v>
      </c>
      <c r="E19" s="2" t="s">
        <v>59</v>
      </c>
      <c r="F19" s="2">
        <v>1</v>
      </c>
      <c r="G19" s="2" t="s">
        <v>190</v>
      </c>
      <c r="H19" s="7"/>
      <c r="I19"/>
    </row>
    <row r="20" spans="1:9" x14ac:dyDescent="0.45">
      <c r="A20" s="2">
        <v>18</v>
      </c>
      <c r="B20" s="2" t="s">
        <v>60</v>
      </c>
      <c r="C20" s="3" t="s">
        <v>61</v>
      </c>
      <c r="D20" s="3" t="s">
        <v>62</v>
      </c>
      <c r="E20" s="2" t="s">
        <v>63</v>
      </c>
      <c r="F20" s="2">
        <v>1</v>
      </c>
      <c r="G20" s="2" t="s">
        <v>190</v>
      </c>
      <c r="H20" s="7"/>
      <c r="I20"/>
    </row>
    <row r="21" spans="1:9" x14ac:dyDescent="0.45">
      <c r="A21" s="2">
        <v>19</v>
      </c>
      <c r="B21" s="2" t="s">
        <v>64</v>
      </c>
      <c r="C21" s="3" t="s">
        <v>65</v>
      </c>
      <c r="D21" s="3" t="s">
        <v>66</v>
      </c>
      <c r="E21" s="2" t="s">
        <v>67</v>
      </c>
      <c r="F21" s="2">
        <v>1</v>
      </c>
      <c r="G21" s="2" t="s">
        <v>190</v>
      </c>
      <c r="H21" s="7"/>
      <c r="I21"/>
    </row>
    <row r="22" spans="1:9" x14ac:dyDescent="0.45">
      <c r="A22" s="2">
        <v>20</v>
      </c>
      <c r="B22" s="2" t="s">
        <v>68</v>
      </c>
      <c r="C22" s="3" t="s">
        <v>69</v>
      </c>
      <c r="D22" s="3" t="s">
        <v>70</v>
      </c>
      <c r="E22" s="2" t="s">
        <v>71</v>
      </c>
      <c r="F22" s="2">
        <v>1</v>
      </c>
      <c r="G22" s="2" t="s">
        <v>190</v>
      </c>
      <c r="H22" s="7"/>
      <c r="I22"/>
    </row>
    <row r="23" spans="1:9" x14ac:dyDescent="0.45">
      <c r="A23" s="2">
        <v>21</v>
      </c>
      <c r="B23" s="2" t="s">
        <v>72</v>
      </c>
      <c r="C23" s="3" t="s">
        <v>73</v>
      </c>
      <c r="D23" s="3" t="s">
        <v>74</v>
      </c>
      <c r="E23" s="2" t="s">
        <v>75</v>
      </c>
      <c r="F23" s="2">
        <v>1</v>
      </c>
      <c r="G23" s="2" t="s">
        <v>190</v>
      </c>
      <c r="H23" s="7"/>
      <c r="I23"/>
    </row>
    <row r="24" spans="1:9" x14ac:dyDescent="0.45">
      <c r="A24" s="2">
        <v>22</v>
      </c>
      <c r="B24" s="2" t="s">
        <v>76</v>
      </c>
      <c r="C24" s="3" t="s">
        <v>77</v>
      </c>
      <c r="D24" s="3" t="s">
        <v>78</v>
      </c>
      <c r="E24" s="2" t="s">
        <v>31</v>
      </c>
      <c r="F24" s="2">
        <v>1</v>
      </c>
      <c r="G24" s="2" t="s">
        <v>190</v>
      </c>
      <c r="H24" s="7"/>
      <c r="I24"/>
    </row>
    <row r="25" spans="1:9" x14ac:dyDescent="0.45">
      <c r="A25" s="2">
        <v>23</v>
      </c>
      <c r="B25" s="2" t="s">
        <v>79</v>
      </c>
      <c r="C25" s="3" t="s">
        <v>192</v>
      </c>
      <c r="D25" s="3" t="s">
        <v>192</v>
      </c>
      <c r="E25" s="2" t="s">
        <v>80</v>
      </c>
      <c r="F25" s="2">
        <v>4</v>
      </c>
      <c r="G25" s="2" t="s">
        <v>190</v>
      </c>
      <c r="H25" s="7"/>
      <c r="I25"/>
    </row>
    <row r="26" spans="1:9" x14ac:dyDescent="0.45">
      <c r="A26" s="2">
        <v>24</v>
      </c>
      <c r="B26" s="2" t="s">
        <v>81</v>
      </c>
      <c r="C26" s="3" t="s">
        <v>193</v>
      </c>
      <c r="D26" s="3" t="s">
        <v>193</v>
      </c>
      <c r="E26" s="2" t="s">
        <v>82</v>
      </c>
      <c r="F26" s="2">
        <v>1</v>
      </c>
      <c r="G26" s="2" t="s">
        <v>190</v>
      </c>
      <c r="H26" s="7"/>
      <c r="I26"/>
    </row>
    <row r="27" spans="1:9" x14ac:dyDescent="0.45">
      <c r="A27" s="2">
        <v>25</v>
      </c>
      <c r="B27" s="2" t="s">
        <v>83</v>
      </c>
      <c r="C27" s="3" t="s">
        <v>84</v>
      </c>
      <c r="D27" s="3" t="s">
        <v>85</v>
      </c>
      <c r="E27" s="2" t="s">
        <v>86</v>
      </c>
      <c r="F27" s="2">
        <v>1</v>
      </c>
      <c r="G27" s="2" t="s">
        <v>190</v>
      </c>
      <c r="H27" s="7"/>
      <c r="I27"/>
    </row>
    <row r="28" spans="1:9" x14ac:dyDescent="0.45">
      <c r="A28" s="2">
        <v>26</v>
      </c>
      <c r="B28" s="2" t="s">
        <v>87</v>
      </c>
      <c r="C28" s="3" t="s">
        <v>196</v>
      </c>
      <c r="D28" s="3" t="s">
        <v>88</v>
      </c>
      <c r="E28" s="2" t="s">
        <v>89</v>
      </c>
      <c r="F28" s="2">
        <v>1</v>
      </c>
      <c r="G28" s="2"/>
      <c r="H28" s="7" t="s">
        <v>198</v>
      </c>
      <c r="I28"/>
    </row>
    <row r="29" spans="1:9" x14ac:dyDescent="0.45">
      <c r="A29" s="2">
        <v>27</v>
      </c>
      <c r="B29" s="2" t="s">
        <v>90</v>
      </c>
      <c r="C29" s="3" t="s">
        <v>91</v>
      </c>
      <c r="D29" s="3" t="s">
        <v>92</v>
      </c>
      <c r="E29" s="2" t="s">
        <v>93</v>
      </c>
      <c r="F29" s="2">
        <v>1</v>
      </c>
      <c r="G29" s="2"/>
      <c r="H29" s="7" t="s">
        <v>198</v>
      </c>
      <c r="I29"/>
    </row>
    <row r="30" spans="1:9" x14ac:dyDescent="0.45">
      <c r="A30" s="2">
        <v>28</v>
      </c>
      <c r="B30" s="2" t="s">
        <v>94</v>
      </c>
      <c r="C30" s="3" t="s">
        <v>95</v>
      </c>
      <c r="D30" s="3" t="s">
        <v>95</v>
      </c>
      <c r="E30" s="2" t="s">
        <v>95</v>
      </c>
      <c r="F30" s="2">
        <v>1</v>
      </c>
      <c r="G30" s="2"/>
      <c r="H30" s="7" t="s">
        <v>198</v>
      </c>
      <c r="I30"/>
    </row>
    <row r="31" spans="1:9" x14ac:dyDescent="0.45">
      <c r="A31" s="2">
        <v>29</v>
      </c>
      <c r="B31" s="2" t="s">
        <v>96</v>
      </c>
      <c r="C31" s="3" t="s">
        <v>97</v>
      </c>
      <c r="D31" s="3" t="s">
        <v>98</v>
      </c>
      <c r="E31" s="2" t="s">
        <v>98</v>
      </c>
      <c r="F31" s="2">
        <v>1</v>
      </c>
      <c r="G31" s="2" t="s">
        <v>190</v>
      </c>
      <c r="H31" s="7"/>
      <c r="I31"/>
    </row>
    <row r="32" spans="1:9" x14ac:dyDescent="0.45">
      <c r="A32" s="2">
        <v>30</v>
      </c>
      <c r="B32" s="2" t="s">
        <v>99</v>
      </c>
      <c r="C32" s="3" t="s">
        <v>100</v>
      </c>
      <c r="D32" s="3" t="s">
        <v>101</v>
      </c>
      <c r="E32" s="2" t="s">
        <v>102</v>
      </c>
      <c r="F32" s="2">
        <v>1</v>
      </c>
      <c r="G32" s="2" t="s">
        <v>194</v>
      </c>
      <c r="H32" s="7"/>
      <c r="I32"/>
    </row>
    <row r="33" spans="1:9" x14ac:dyDescent="0.45">
      <c r="A33" s="2">
        <v>31</v>
      </c>
      <c r="B33" s="2" t="s">
        <v>103</v>
      </c>
      <c r="C33" s="3" t="s">
        <v>104</v>
      </c>
      <c r="D33" s="3" t="s">
        <v>105</v>
      </c>
      <c r="E33" s="2" t="s">
        <v>106</v>
      </c>
      <c r="F33" s="2">
        <v>1</v>
      </c>
      <c r="G33" s="2" t="s">
        <v>190</v>
      </c>
      <c r="H33" s="7"/>
      <c r="I33"/>
    </row>
    <row r="34" spans="1:9" x14ac:dyDescent="0.45">
      <c r="A34" s="2">
        <v>32</v>
      </c>
      <c r="B34" s="2" t="s">
        <v>107</v>
      </c>
      <c r="C34" s="3" t="s">
        <v>108</v>
      </c>
      <c r="D34" s="3" t="s">
        <v>109</v>
      </c>
      <c r="E34" s="2" t="s">
        <v>102</v>
      </c>
      <c r="F34" s="2">
        <v>1</v>
      </c>
      <c r="G34" s="2" t="s">
        <v>190</v>
      </c>
      <c r="H34" s="7"/>
      <c r="I34"/>
    </row>
    <row r="35" spans="1:9" x14ac:dyDescent="0.45">
      <c r="A35" s="2">
        <v>33</v>
      </c>
      <c r="B35" s="2" t="s">
        <v>110</v>
      </c>
      <c r="C35" s="3" t="s">
        <v>111</v>
      </c>
      <c r="D35" s="3" t="s">
        <v>111</v>
      </c>
      <c r="E35" s="2" t="s">
        <v>31</v>
      </c>
      <c r="F35" s="2">
        <v>4</v>
      </c>
      <c r="G35" s="2" t="s">
        <v>190</v>
      </c>
      <c r="H35" s="7" t="s">
        <v>199</v>
      </c>
      <c r="I35"/>
    </row>
    <row r="36" spans="1:9" x14ac:dyDescent="0.45">
      <c r="A36" s="2">
        <v>34</v>
      </c>
      <c r="B36" s="2" t="s">
        <v>112</v>
      </c>
      <c r="C36" s="3" t="s">
        <v>113</v>
      </c>
      <c r="D36" s="3" t="s">
        <v>113</v>
      </c>
      <c r="E36" s="2" t="s">
        <v>31</v>
      </c>
      <c r="F36" s="2">
        <v>2</v>
      </c>
      <c r="G36" s="2" t="s">
        <v>190</v>
      </c>
      <c r="H36" s="7" t="s">
        <v>199</v>
      </c>
      <c r="I36"/>
    </row>
    <row r="37" spans="1:9" x14ac:dyDescent="0.45">
      <c r="A37" s="2">
        <v>35</v>
      </c>
      <c r="B37" s="2" t="s">
        <v>114</v>
      </c>
      <c r="C37" s="3" t="s">
        <v>115</v>
      </c>
      <c r="D37" s="3" t="s">
        <v>115</v>
      </c>
      <c r="E37" s="2" t="s">
        <v>31</v>
      </c>
      <c r="F37" s="2">
        <v>3</v>
      </c>
      <c r="G37" s="2" t="s">
        <v>190</v>
      </c>
      <c r="H37" s="7" t="s">
        <v>199</v>
      </c>
      <c r="I37"/>
    </row>
    <row r="38" spans="1:9" x14ac:dyDescent="0.45">
      <c r="A38" s="2">
        <v>36</v>
      </c>
      <c r="B38" s="2" t="s">
        <v>116</v>
      </c>
      <c r="C38" s="3">
        <v>0</v>
      </c>
      <c r="D38" s="3">
        <v>0</v>
      </c>
      <c r="E38" s="2" t="s">
        <v>31</v>
      </c>
      <c r="F38" s="2">
        <v>1</v>
      </c>
      <c r="G38" s="2" t="s">
        <v>190</v>
      </c>
      <c r="H38" s="7" t="s">
        <v>199</v>
      </c>
      <c r="I38"/>
    </row>
    <row r="39" spans="1:9" x14ac:dyDescent="0.45">
      <c r="A39" s="2">
        <v>37</v>
      </c>
      <c r="B39" s="2" t="s">
        <v>117</v>
      </c>
      <c r="C39" s="3" t="s">
        <v>118</v>
      </c>
      <c r="D39" s="3" t="s">
        <v>118</v>
      </c>
      <c r="E39" s="2" t="s">
        <v>31</v>
      </c>
      <c r="F39" s="2">
        <v>3</v>
      </c>
      <c r="G39" s="2" t="s">
        <v>190</v>
      </c>
      <c r="H39" s="7" t="s">
        <v>199</v>
      </c>
      <c r="I39"/>
    </row>
    <row r="40" spans="1:9" x14ac:dyDescent="0.45">
      <c r="A40" s="2">
        <v>38</v>
      </c>
      <c r="B40" s="2" t="s">
        <v>119</v>
      </c>
      <c r="C40" s="3">
        <v>220</v>
      </c>
      <c r="D40" s="3" t="s">
        <v>120</v>
      </c>
      <c r="E40" s="2" t="s">
        <v>31</v>
      </c>
      <c r="F40" s="2">
        <v>3</v>
      </c>
      <c r="G40" s="2" t="s">
        <v>190</v>
      </c>
      <c r="H40" s="7" t="s">
        <v>199</v>
      </c>
      <c r="I40"/>
    </row>
    <row r="41" spans="1:9" x14ac:dyDescent="0.45">
      <c r="A41" s="2">
        <v>39</v>
      </c>
      <c r="B41" s="2" t="s">
        <v>121</v>
      </c>
      <c r="C41" s="3" t="s">
        <v>122</v>
      </c>
      <c r="D41" s="3" t="s">
        <v>122</v>
      </c>
      <c r="E41" s="2" t="s">
        <v>31</v>
      </c>
      <c r="F41" s="2">
        <v>3</v>
      </c>
      <c r="G41" s="2" t="s">
        <v>190</v>
      </c>
      <c r="H41" s="7" t="s">
        <v>199</v>
      </c>
      <c r="I41"/>
    </row>
    <row r="42" spans="1:9" x14ac:dyDescent="0.45">
      <c r="A42" s="2">
        <v>40</v>
      </c>
      <c r="B42" s="2" t="s">
        <v>123</v>
      </c>
      <c r="C42" s="3" t="s">
        <v>120</v>
      </c>
      <c r="D42" s="3" t="s">
        <v>120</v>
      </c>
      <c r="E42" s="2" t="s">
        <v>31</v>
      </c>
      <c r="F42" s="2">
        <v>3</v>
      </c>
      <c r="G42" s="2" t="s">
        <v>190</v>
      </c>
      <c r="H42" s="7" t="s">
        <v>199</v>
      </c>
      <c r="I42"/>
    </row>
    <row r="43" spans="1:9" x14ac:dyDescent="0.45">
      <c r="A43" s="2">
        <v>41</v>
      </c>
      <c r="B43" s="2" t="s">
        <v>124</v>
      </c>
      <c r="C43" s="3" t="s">
        <v>125</v>
      </c>
      <c r="D43" s="3" t="s">
        <v>125</v>
      </c>
      <c r="E43" s="2" t="s">
        <v>31</v>
      </c>
      <c r="F43" s="2">
        <v>2</v>
      </c>
      <c r="G43" s="2" t="s">
        <v>190</v>
      </c>
      <c r="H43" s="7" t="s">
        <v>199</v>
      </c>
      <c r="I43"/>
    </row>
    <row r="44" spans="1:9" x14ac:dyDescent="0.45">
      <c r="A44" s="2">
        <v>42</v>
      </c>
      <c r="B44" s="2" t="s">
        <v>126</v>
      </c>
      <c r="C44" s="3">
        <v>220</v>
      </c>
      <c r="D44" s="3">
        <v>220</v>
      </c>
      <c r="E44" s="2" t="s">
        <v>31</v>
      </c>
      <c r="F44" s="2">
        <v>2</v>
      </c>
      <c r="G44" s="2" t="s">
        <v>190</v>
      </c>
      <c r="H44" s="7" t="s">
        <v>199</v>
      </c>
      <c r="I44"/>
    </row>
    <row r="45" spans="1:9" x14ac:dyDescent="0.45">
      <c r="A45" s="2">
        <v>43</v>
      </c>
      <c r="B45" s="2" t="s">
        <v>127</v>
      </c>
      <c r="C45" s="3" t="s">
        <v>128</v>
      </c>
      <c r="D45" s="3" t="s">
        <v>128</v>
      </c>
      <c r="E45" s="2" t="s">
        <v>31</v>
      </c>
      <c r="F45" s="2">
        <v>3</v>
      </c>
      <c r="G45" s="2" t="s">
        <v>190</v>
      </c>
      <c r="H45" s="7" t="s">
        <v>199</v>
      </c>
      <c r="I45"/>
    </row>
    <row r="46" spans="1:9" x14ac:dyDescent="0.45">
      <c r="A46" s="2">
        <v>44</v>
      </c>
      <c r="B46" s="2" t="s">
        <v>129</v>
      </c>
      <c r="C46" s="3">
        <v>510</v>
      </c>
      <c r="D46" s="3">
        <v>510</v>
      </c>
      <c r="E46" s="2" t="s">
        <v>31</v>
      </c>
      <c r="F46" s="2">
        <v>2</v>
      </c>
      <c r="G46" s="2" t="s">
        <v>190</v>
      </c>
      <c r="H46" s="7" t="s">
        <v>199</v>
      </c>
      <c r="I46"/>
    </row>
    <row r="47" spans="1:9" x14ac:dyDescent="0.45">
      <c r="A47" s="2">
        <v>45</v>
      </c>
      <c r="B47" s="2" t="s">
        <v>130</v>
      </c>
      <c r="C47" s="3">
        <v>470</v>
      </c>
      <c r="D47" s="3">
        <v>470</v>
      </c>
      <c r="E47" s="2" t="s">
        <v>31</v>
      </c>
      <c r="F47" s="2">
        <v>2</v>
      </c>
      <c r="G47" s="2" t="s">
        <v>190</v>
      </c>
      <c r="H47" s="7" t="s">
        <v>199</v>
      </c>
      <c r="I47"/>
    </row>
    <row r="48" spans="1:9" x14ac:dyDescent="0.45">
      <c r="A48" s="2">
        <v>46</v>
      </c>
      <c r="B48" s="2" t="s">
        <v>131</v>
      </c>
      <c r="C48" s="3" t="s">
        <v>132</v>
      </c>
      <c r="D48" s="3" t="s">
        <v>132</v>
      </c>
      <c r="E48" s="2" t="s">
        <v>31</v>
      </c>
      <c r="F48" s="2">
        <v>1</v>
      </c>
      <c r="G48" s="2" t="s">
        <v>190</v>
      </c>
      <c r="H48" s="7" t="s">
        <v>199</v>
      </c>
      <c r="I48"/>
    </row>
    <row r="49" spans="1:9" x14ac:dyDescent="0.45">
      <c r="A49" s="2">
        <v>47</v>
      </c>
      <c r="B49" s="2" t="s">
        <v>133</v>
      </c>
      <c r="C49" s="3">
        <v>100</v>
      </c>
      <c r="D49" s="3">
        <v>100</v>
      </c>
      <c r="E49" s="2" t="s">
        <v>31</v>
      </c>
      <c r="F49" s="2">
        <v>1</v>
      </c>
      <c r="G49" s="2" t="s">
        <v>190</v>
      </c>
      <c r="H49" s="7" t="s">
        <v>199</v>
      </c>
      <c r="I49"/>
    </row>
    <row r="50" spans="1:9" x14ac:dyDescent="0.45">
      <c r="A50" s="2">
        <v>48</v>
      </c>
      <c r="B50" s="2" t="s">
        <v>134</v>
      </c>
      <c r="C50" s="3">
        <v>0</v>
      </c>
      <c r="D50" s="3" t="s">
        <v>135</v>
      </c>
      <c r="E50" s="2" t="s">
        <v>136</v>
      </c>
      <c r="F50" s="2">
        <v>1</v>
      </c>
      <c r="G50" s="2" t="s">
        <v>190</v>
      </c>
      <c r="H50" s="7" t="s">
        <v>199</v>
      </c>
      <c r="I50"/>
    </row>
    <row r="51" spans="1:9" x14ac:dyDescent="0.45">
      <c r="A51" s="2">
        <v>49</v>
      </c>
      <c r="B51" s="2" t="s">
        <v>137</v>
      </c>
      <c r="C51" s="3" t="s">
        <v>138</v>
      </c>
      <c r="D51" s="3" t="s">
        <v>139</v>
      </c>
      <c r="E51" s="2" t="s">
        <v>31</v>
      </c>
      <c r="F51" s="2">
        <v>1</v>
      </c>
      <c r="G51" s="2" t="s">
        <v>190</v>
      </c>
      <c r="H51" s="7" t="s">
        <v>199</v>
      </c>
      <c r="I51"/>
    </row>
    <row r="52" spans="1:9" x14ac:dyDescent="0.45">
      <c r="A52" s="2">
        <v>50</v>
      </c>
      <c r="B52" s="2" t="s">
        <v>140</v>
      </c>
      <c r="C52" s="3">
        <v>20</v>
      </c>
      <c r="D52" s="3">
        <v>20</v>
      </c>
      <c r="E52" s="2" t="s">
        <v>31</v>
      </c>
      <c r="F52" s="2">
        <v>1</v>
      </c>
      <c r="G52" s="2" t="s">
        <v>190</v>
      </c>
      <c r="H52" s="7" t="s">
        <v>199</v>
      </c>
      <c r="I52"/>
    </row>
    <row r="53" spans="1:9" x14ac:dyDescent="0.45">
      <c r="A53" s="2">
        <v>51</v>
      </c>
      <c r="B53" s="2" t="s">
        <v>141</v>
      </c>
      <c r="C53" s="3">
        <v>300</v>
      </c>
      <c r="D53" s="3">
        <v>300</v>
      </c>
      <c r="E53" s="2" t="s">
        <v>31</v>
      </c>
      <c r="F53" s="2">
        <v>1</v>
      </c>
      <c r="G53" s="2" t="s">
        <v>190</v>
      </c>
      <c r="H53" s="7" t="s">
        <v>199</v>
      </c>
      <c r="I53"/>
    </row>
    <row r="54" spans="1:9" x14ac:dyDescent="0.45">
      <c r="A54" s="2">
        <v>52</v>
      </c>
      <c r="B54" s="2" t="s">
        <v>142</v>
      </c>
      <c r="C54" s="3" t="s">
        <v>143</v>
      </c>
      <c r="D54" s="3" t="s">
        <v>143</v>
      </c>
      <c r="E54" s="2" t="s">
        <v>31</v>
      </c>
      <c r="F54" s="2">
        <v>1</v>
      </c>
      <c r="G54" s="2" t="s">
        <v>190</v>
      </c>
      <c r="H54" s="7" t="s">
        <v>199</v>
      </c>
      <c r="I54"/>
    </row>
    <row r="55" spans="1:9" x14ac:dyDescent="0.45">
      <c r="A55" s="2">
        <v>53</v>
      </c>
      <c r="B55" s="2" t="s">
        <v>144</v>
      </c>
      <c r="C55" s="3" t="s">
        <v>145</v>
      </c>
      <c r="D55" s="3" t="s">
        <v>145</v>
      </c>
      <c r="E55" s="2" t="s">
        <v>31</v>
      </c>
      <c r="F55" s="2">
        <v>1</v>
      </c>
      <c r="G55" s="2" t="s">
        <v>190</v>
      </c>
      <c r="H55" s="7" t="s">
        <v>199</v>
      </c>
      <c r="I55"/>
    </row>
    <row r="56" spans="1:9" x14ac:dyDescent="0.45">
      <c r="A56" s="2">
        <v>54</v>
      </c>
      <c r="B56" s="2" t="s">
        <v>146</v>
      </c>
      <c r="C56" s="3" t="s">
        <v>118</v>
      </c>
      <c r="D56" s="3">
        <v>0</v>
      </c>
      <c r="E56" s="2" t="s">
        <v>31</v>
      </c>
      <c r="F56" s="2">
        <v>1</v>
      </c>
      <c r="G56" s="2" t="s">
        <v>190</v>
      </c>
      <c r="H56" s="7" t="s">
        <v>199</v>
      </c>
      <c r="I56"/>
    </row>
    <row r="57" spans="1:9" x14ac:dyDescent="0.45">
      <c r="A57" s="2">
        <v>55</v>
      </c>
      <c r="B57" s="2" t="s">
        <v>147</v>
      </c>
      <c r="C57" s="3" t="s">
        <v>148</v>
      </c>
      <c r="D57" s="3" t="s">
        <v>148</v>
      </c>
      <c r="E57" s="2" t="s">
        <v>149</v>
      </c>
      <c r="F57" s="2">
        <v>1</v>
      </c>
      <c r="G57" s="2"/>
      <c r="H57" s="7" t="s">
        <v>198</v>
      </c>
      <c r="I57"/>
    </row>
    <row r="58" spans="1:9" x14ac:dyDescent="0.45">
      <c r="A58" s="2">
        <v>56</v>
      </c>
      <c r="B58" s="2" t="s">
        <v>150</v>
      </c>
      <c r="C58" s="3" t="s">
        <v>151</v>
      </c>
      <c r="D58" s="3" t="s">
        <v>152</v>
      </c>
      <c r="E58" s="2" t="s">
        <v>106</v>
      </c>
      <c r="F58" s="2">
        <v>1</v>
      </c>
      <c r="G58" s="2" t="s">
        <v>190</v>
      </c>
      <c r="H58" s="7"/>
      <c r="I58"/>
    </row>
    <row r="59" spans="1:9" x14ac:dyDescent="0.45">
      <c r="A59" s="2">
        <v>57</v>
      </c>
      <c r="B59" s="2" t="s">
        <v>153</v>
      </c>
      <c r="C59" s="3" t="s">
        <v>154</v>
      </c>
      <c r="D59" s="3" t="s">
        <v>154</v>
      </c>
      <c r="E59" s="2" t="s">
        <v>155</v>
      </c>
      <c r="F59" s="2">
        <v>1</v>
      </c>
      <c r="G59" s="2" t="s">
        <v>190</v>
      </c>
      <c r="H59" s="7"/>
      <c r="I59"/>
    </row>
    <row r="60" spans="1:9" x14ac:dyDescent="0.45">
      <c r="A60" s="2">
        <v>58</v>
      </c>
      <c r="B60" s="2" t="s">
        <v>156</v>
      </c>
      <c r="C60" s="3" t="s">
        <v>157</v>
      </c>
      <c r="D60" s="3" t="s">
        <v>158</v>
      </c>
      <c r="E60" s="2" t="s">
        <v>159</v>
      </c>
      <c r="F60" s="2">
        <v>1</v>
      </c>
      <c r="G60" s="2" t="s">
        <v>190</v>
      </c>
      <c r="H60" s="7"/>
      <c r="I60"/>
    </row>
    <row r="61" spans="1:9" x14ac:dyDescent="0.45">
      <c r="A61" s="2">
        <v>59</v>
      </c>
      <c r="B61" s="2" t="s">
        <v>160</v>
      </c>
      <c r="C61" s="3" t="s">
        <v>161</v>
      </c>
      <c r="D61" s="3" t="s">
        <v>162</v>
      </c>
      <c r="E61" s="2" t="s">
        <v>163</v>
      </c>
      <c r="F61" s="2">
        <v>1</v>
      </c>
      <c r="G61" s="2" t="s">
        <v>195</v>
      </c>
      <c r="H61" s="7" t="s">
        <v>198</v>
      </c>
      <c r="I61"/>
    </row>
    <row r="62" spans="1:9" x14ac:dyDescent="0.45">
      <c r="A62" s="2">
        <v>60</v>
      </c>
      <c r="B62" s="2" t="s">
        <v>164</v>
      </c>
      <c r="C62" s="3" t="s">
        <v>165</v>
      </c>
      <c r="D62" s="3" t="s">
        <v>166</v>
      </c>
      <c r="E62" s="2" t="s">
        <v>167</v>
      </c>
      <c r="F62" s="2">
        <v>1</v>
      </c>
      <c r="G62" s="2" t="s">
        <v>190</v>
      </c>
      <c r="H62" s="7"/>
      <c r="I62"/>
    </row>
    <row r="63" spans="1:9" x14ac:dyDescent="0.45">
      <c r="A63" s="2">
        <v>61</v>
      </c>
      <c r="B63" s="2" t="s">
        <v>168</v>
      </c>
      <c r="C63" s="3" t="s">
        <v>169</v>
      </c>
      <c r="D63" s="3" t="s">
        <v>170</v>
      </c>
      <c r="E63" s="2" t="s">
        <v>171</v>
      </c>
      <c r="F63" s="2">
        <v>2</v>
      </c>
      <c r="G63" s="2" t="s">
        <v>190</v>
      </c>
      <c r="H63" s="7"/>
      <c r="I63"/>
    </row>
    <row r="64" spans="1:9" x14ac:dyDescent="0.45">
      <c r="A64" s="2">
        <v>62</v>
      </c>
      <c r="B64" s="2" t="s">
        <v>172</v>
      </c>
      <c r="C64" s="3" t="s">
        <v>173</v>
      </c>
      <c r="D64" s="3" t="s">
        <v>174</v>
      </c>
      <c r="E64" s="2" t="s">
        <v>175</v>
      </c>
      <c r="F64" s="2">
        <v>1</v>
      </c>
      <c r="G64" s="2" t="s">
        <v>190</v>
      </c>
      <c r="H64" s="7"/>
      <c r="I64"/>
    </row>
    <row r="65" spans="1:11" x14ac:dyDescent="0.45">
      <c r="A65" s="2">
        <v>63</v>
      </c>
      <c r="B65" s="2" t="s">
        <v>176</v>
      </c>
      <c r="C65" s="3" t="s">
        <v>177</v>
      </c>
      <c r="D65" s="3" t="s">
        <v>178</v>
      </c>
      <c r="E65" s="2" t="s">
        <v>175</v>
      </c>
      <c r="F65" s="2">
        <v>1</v>
      </c>
      <c r="G65" s="2" t="s">
        <v>190</v>
      </c>
      <c r="H65" s="7"/>
      <c r="I65"/>
    </row>
    <row r="66" spans="1:11" x14ac:dyDescent="0.45">
      <c r="A66" s="2">
        <v>64</v>
      </c>
      <c r="B66" s="2" t="s">
        <v>179</v>
      </c>
      <c r="C66" s="3" t="s">
        <v>180</v>
      </c>
      <c r="D66" s="3" t="s">
        <v>180</v>
      </c>
      <c r="E66" s="2" t="s">
        <v>181</v>
      </c>
      <c r="F66" s="2">
        <v>1</v>
      </c>
      <c r="G66" s="2" t="s">
        <v>190</v>
      </c>
      <c r="H66" s="7"/>
      <c r="I66"/>
    </row>
    <row r="67" spans="1:11" x14ac:dyDescent="0.45">
      <c r="A67" s="2">
        <v>65</v>
      </c>
      <c r="B67" s="2" t="s">
        <v>182</v>
      </c>
      <c r="C67" s="3" t="s">
        <v>183</v>
      </c>
      <c r="D67" s="3" t="s">
        <v>184</v>
      </c>
      <c r="E67" s="2" t="s">
        <v>159</v>
      </c>
      <c r="F67" s="2">
        <v>1</v>
      </c>
      <c r="G67" s="2" t="s">
        <v>190</v>
      </c>
      <c r="H67" s="7"/>
      <c r="I67"/>
    </row>
    <row r="68" spans="1:11" x14ac:dyDescent="0.45">
      <c r="A68" s="2">
        <v>66</v>
      </c>
      <c r="B68" s="2" t="s">
        <v>185</v>
      </c>
      <c r="C68" s="3" t="s">
        <v>186</v>
      </c>
      <c r="D68" s="3" t="s">
        <v>186</v>
      </c>
      <c r="E68" s="2" t="s">
        <v>187</v>
      </c>
      <c r="F68" s="2">
        <v>1</v>
      </c>
      <c r="G68" s="2" t="s">
        <v>190</v>
      </c>
      <c r="H68" s="7"/>
      <c r="I68"/>
    </row>
    <row r="69" spans="1:11" x14ac:dyDescent="0.45">
      <c r="F69">
        <f>SUM(F3:F68)</f>
        <v>109</v>
      </c>
      <c r="J69" s="8"/>
      <c r="K69" s="8"/>
    </row>
  </sheetData>
  <phoneticPr fontId="18" type="noConversion"/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TNC3L_B005_BOM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Lau</dc:creator>
  <cp:lastModifiedBy>Cliff Lau</cp:lastModifiedBy>
  <cp:lastPrinted>2026-06-30T23:48:13Z</cp:lastPrinted>
  <dcterms:created xsi:type="dcterms:W3CDTF">2026-06-25T00:07:35Z</dcterms:created>
  <dcterms:modified xsi:type="dcterms:W3CDTF">2026-09-25T09:45:17Z</dcterms:modified>
</cp:coreProperties>
</file>